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Ingresos" sheetId="2" state="visible" r:id="rId4"/>
    <sheet name="Gastos" sheetId="3" state="visible" r:id="rId5"/>
    <sheet name="Liquidaciones" sheetId="4" state="visible" r:id="rId6"/>
    <sheet name="Otros Documentos" sheetId="5" state="visible" r:id="rId7"/>
  </sheets>
  <definedNames>
    <definedName function="false" hidden="true" localSheetId="2" name="_xlnm._FilterDatabase" vbProcedure="false">Gastos!$A$1:$L$36</definedName>
    <definedName function="false" hidden="true" localSheetId="1" name="_xlnm._FilterDatabase" vbProcedure="false">Ingresos!$A$1:$J$5</definedName>
    <definedName function="false" hidden="true" localSheetId="3" name="_xlnm._FilterDatabase" vbProcedure="false">Liquidaciones!$A$1:$K$5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<sst xmlns="http://schemas.openxmlformats.org/spreadsheetml/2006/main" count="397" uniqueCount="234">
  <si>
    <t xml:space="preserve">RESUMEN DE FACTURAS</t>
  </si>
  <si>
    <t xml:space="preserve">Pastorino Costa del Sol SL (CIF: B13995519)</t>
  </si>
  <si>
    <t xml:space="preserve">Período: Julio 2025 - Marzo 2026</t>
  </si>
  <si>
    <t xml:space="preserve">Categoría</t>
  </si>
  <si>
    <t xml:space="preserve">Nº Facturas</t>
  </si>
  <si>
    <t xml:space="preserve">Total (EUR)</t>
  </si>
  <si>
    <t xml:space="preserve">INGRESOS (Facturas emitidas)</t>
  </si>
  <si>
    <t xml:space="preserve">GASTOS - Transporte (Primafrio)</t>
  </si>
  <si>
    <t xml:space="preserve">GASTOS - Aduanas/Logística (Primafrio)</t>
  </si>
  <si>
    <t xml:space="preserve">GASTOS - Aduanas (Transitainer)</t>
  </si>
  <si>
    <t xml:space="preserve">GASTOS - Software (Odoo)</t>
  </si>
  <si>
    <t xml:space="preserve">GASTOS - Naviera Maersk (Importación)</t>
  </si>
  <si>
    <t xml:space="preserve">GASTOS - Maersk (Demoras terminal)</t>
  </si>
  <si>
    <t xml:space="preserve">GASTOS - Maersk (Detención contenedor)</t>
  </si>
  <si>
    <t xml:space="preserve">GASTOS - Maersk (CSI-Fresh Rotterdam)</t>
  </si>
  <si>
    <t xml:space="preserve">GASTOS - Compras (El Corte Inglés)</t>
  </si>
  <si>
    <t xml:space="preserve">GASTOS - Publicidad (Copyrap)</t>
  </si>
  <si>
    <t xml:space="preserve">GASTOS - Seguro (Coface)</t>
  </si>
  <si>
    <t xml:space="preserve">GASTOS - Mercancía (Cauquen, USD)</t>
  </si>
  <si>
    <t xml:space="preserve">8.800,00 USD</t>
  </si>
  <si>
    <t xml:space="preserve">TOTAL INGRESOS</t>
  </si>
  <si>
    <t xml:space="preserve">TOTAL GASTOS (EUR, sin Cauquen)</t>
  </si>
  <si>
    <t xml:space="preserve">NOTAS:</t>
  </si>
  <si>
    <t xml:space="preserve">1. La factura 7532598836 (Maersk) no se pudo leer. Revisar manualmente.</t>
  </si>
  <si>
    <t xml:space="preserve">2. Las liquidaciones de Malaga Natural corresponden a las facturas INV emitidas (mismas operaciones).</t>
  </si>
  <si>
    <t xml:space="preserve">3. La factura de Cauquen Argentina está en USD (8.800,00 USD).</t>
  </si>
  <si>
    <t xml:space="preserve">4. Facturas 7536263946 y 7537075071 de Maersk están a nombre de CSI-Fresh BV (Holanda).</t>
  </si>
  <si>
    <t xml:space="preserve">5. Los CMR (cartas de porte) no son facturas, son documentos de transporte.</t>
  </si>
  <si>
    <t xml:space="preserve">Nº</t>
  </si>
  <si>
    <t xml:space="preserve">Archivo</t>
  </si>
  <si>
    <t xml:space="preserve">Nº Factura</t>
  </si>
  <si>
    <t xml:space="preserve">Fecha</t>
  </si>
  <si>
    <t xml:space="preserve">Cliente</t>
  </si>
  <si>
    <t xml:space="preserve">Concepto</t>
  </si>
  <si>
    <t xml:space="preserve">Base Imponible</t>
  </si>
  <si>
    <t xml:space="preserve">IVA (%)</t>
  </si>
  <si>
    <t xml:space="preserve">Cuota IVA</t>
  </si>
  <si>
    <t xml:space="preserve">Total</t>
  </si>
  <si>
    <t xml:space="preserve">INV_2025_00001.pdf</t>
  </si>
  <si>
    <t xml:space="preserve">INV/2025/00001</t>
  </si>
  <si>
    <t xml:space="preserve">09/08/2025</t>
  </si>
  <si>
    <t xml:space="preserve">Malaga Natural 2012 SL</t>
  </si>
  <si>
    <t xml:space="preserve">Venta limones (Container SUDU8020260)</t>
  </si>
  <si>
    <t xml:space="preserve">4%</t>
  </si>
  <si>
    <t xml:space="preserve">INV_2025_00002.pdf</t>
  </si>
  <si>
    <t xml:space="preserve">INV/2025/00002</t>
  </si>
  <si>
    <t xml:space="preserve">25/08/2025</t>
  </si>
  <si>
    <t xml:space="preserve">Venta limones (Containers SUDU8020260/MNBU0233449)</t>
  </si>
  <si>
    <t xml:space="preserve">INV_2025_00003.pdf</t>
  </si>
  <si>
    <t xml:space="preserve">INV/2025/00003</t>
  </si>
  <si>
    <t xml:space="preserve">Venta limones (Containers MNBU0233449/SUDU6177121)</t>
  </si>
  <si>
    <t xml:space="preserve">INV_2025_00004.pdf</t>
  </si>
  <si>
    <t xml:space="preserve">INV/2025/00004</t>
  </si>
  <si>
    <t xml:space="preserve">Venta limones (Container SUDU6177121)</t>
  </si>
  <si>
    <t xml:space="preserve">Proveedor</t>
  </si>
  <si>
    <t xml:space="preserve">Moneda</t>
  </si>
  <si>
    <t xml:space="preserve">01PRMR523886.pdf</t>
  </si>
  <si>
    <t xml:space="preserve">523886</t>
  </si>
  <si>
    <t xml:space="preserve">02/03/2026</t>
  </si>
  <si>
    <t xml:space="preserve">Coface (Compagnie Française d'Assurance)</t>
  </si>
  <si>
    <t xml:space="preserve">Seguro</t>
  </si>
  <si>
    <t xml:space="preserve">Prima seguro crédito exportación</t>
  </si>
  <si>
    <t xml:space="preserve">IPS 8% + RAL 0.15%</t>
  </si>
  <si>
    <t xml:space="preserve">EUR</t>
  </si>
  <si>
    <t xml:space="preserve">1090161585.pdf</t>
  </si>
  <si>
    <t xml:space="preserve">1090161585</t>
  </si>
  <si>
    <t xml:space="preserve">30/07/2025</t>
  </si>
  <si>
    <t xml:space="preserve">Primafrio SL</t>
  </si>
  <si>
    <t xml:space="preserve">Transporte</t>
  </si>
  <si>
    <t xml:space="preserve">Transporte contenedor Portugal-Málaga (limones)</t>
  </si>
  <si>
    <t xml:space="preserve">21%</t>
  </si>
  <si>
    <t xml:space="preserve">1090165048.pdf</t>
  </si>
  <si>
    <t xml:space="preserve">1090165048</t>
  </si>
  <si>
    <t xml:space="preserve">06/08/2025</t>
  </si>
  <si>
    <t xml:space="preserve">1090167087.pdf</t>
  </si>
  <si>
    <t xml:space="preserve">1090167087</t>
  </si>
  <si>
    <t xml:space="preserve">08/08/2025</t>
  </si>
  <si>
    <t xml:space="preserve">Transporte contenedor Portugal-Málaga</t>
  </si>
  <si>
    <t xml:space="preserve">1090168047.pdf</t>
  </si>
  <si>
    <t xml:space="preserve">1090168047</t>
  </si>
  <si>
    <t xml:space="preserve">12/08/2025</t>
  </si>
  <si>
    <t xml:space="preserve">2390101398.pdf</t>
  </si>
  <si>
    <t xml:space="preserve">2390101398</t>
  </si>
  <si>
    <t xml:space="preserve">27/08/2025</t>
  </si>
  <si>
    <t xml:space="preserve">Aduanas/Logística</t>
  </si>
  <si>
    <t xml:space="preserve">Despacho aduanas cont. SUDU8020260 (aranceles, IVA aduana, fito, inspección)</t>
  </si>
  <si>
    <t xml:space="preserve">Mixto</t>
  </si>
  <si>
    <t xml:space="preserve">2390101399.pdf</t>
  </si>
  <si>
    <t xml:space="preserve">2390101399</t>
  </si>
  <si>
    <t xml:space="preserve">Despacho aduanas cont. MNBU0233449 (aranceles, fito, logística)</t>
  </si>
  <si>
    <t xml:space="preserve">2390101400.pdf</t>
  </si>
  <si>
    <t xml:space="preserve">2390101400</t>
  </si>
  <si>
    <t xml:space="preserve">Despacho aduanas cont. SUDU6177121 (aranceles, IVA aduana, fito)</t>
  </si>
  <si>
    <t xml:space="preserve">2390101460.pdf</t>
  </si>
  <si>
    <t xml:space="preserve">2390101460</t>
  </si>
  <si>
    <t xml:space="preserve">17/09/2025</t>
  </si>
  <si>
    <t xml:space="preserve">Flete marítimo + aduanas cont. MNBU4144463</t>
  </si>
  <si>
    <t xml:space="preserve">2390102446.pdf</t>
  </si>
  <si>
    <t xml:space="preserve">2390102446</t>
  </si>
  <si>
    <t xml:space="preserve">30/12/2025</t>
  </si>
  <si>
    <t xml:space="preserve">Costes naviera + logística cont. MNBU4144463</t>
  </si>
  <si>
    <t xml:space="preserve">2390400070.pdf</t>
  </si>
  <si>
    <t xml:space="preserve">2390400070</t>
  </si>
  <si>
    <t xml:space="preserve">Abono</t>
  </si>
  <si>
    <t xml:space="preserve">ABONO ref. factura 2390101702 cont. MNBU4144463</t>
  </si>
  <si>
    <t xml:space="preserve">Fatura TT FT25S_000116.pdf</t>
  </si>
  <si>
    <t xml:space="preserve">TT FT25S/000116</t>
  </si>
  <si>
    <t xml:space="preserve">14/08/2025</t>
  </si>
  <si>
    <t xml:space="preserve">Transitainer Portugal Ltda</t>
  </si>
  <si>
    <t xml:space="preserve">Despacho aduanas cont. MNBU0233449 (aranceles, IVA import., fito)</t>
  </si>
  <si>
    <t xml:space="preserve">0% (IVA M0)</t>
  </si>
  <si>
    <t xml:space="preserve">2025_07_000004.pdf</t>
  </si>
  <si>
    <t xml:space="preserve">2025/07/000004</t>
  </si>
  <si>
    <t xml:space="preserve">01/07/2025</t>
  </si>
  <si>
    <t xml:space="preserve">Odoo SA (Bélgica)</t>
  </si>
  <si>
    <t xml:space="preserve">Software</t>
  </si>
  <si>
    <t xml:space="preserve">Suscripción Odoo Enterprise (julio)</t>
  </si>
  <si>
    <t xml:space="preserve">0% (autoliq.)</t>
  </si>
  <si>
    <t xml:space="preserve">2025_09_000020.pdf</t>
  </si>
  <si>
    <t xml:space="preserve">2025/09/000020</t>
  </si>
  <si>
    <t xml:space="preserve">01/09/2025</t>
  </si>
  <si>
    <t xml:space="preserve">Suscripción Odoo Enterprise (septiembre)</t>
  </si>
  <si>
    <t xml:space="preserve">INV_2025_10_00669.pdf</t>
  </si>
  <si>
    <t xml:space="preserve">INV/2025/10/00669</t>
  </si>
  <si>
    <t xml:space="preserve">09/10/2025</t>
  </si>
  <si>
    <t xml:space="preserve">Odoo ERP SP SL (España)</t>
  </si>
  <si>
    <t xml:space="preserve">Suscripción Odoo Enterprise (octubre)</t>
  </si>
  <si>
    <t xml:space="preserve">7532598836.pdf</t>
  </si>
  <si>
    <t xml:space="preserve">7532598836</t>
  </si>
  <si>
    <t xml:space="preserve">Jul 2025</t>
  </si>
  <si>
    <t xml:space="preserve">Maersk</t>
  </si>
  <si>
    <t xml:space="preserve">Naviera/Importación</t>
  </si>
  <si>
    <t xml:space="preserve">Factura importación cont. SUDU8020260 (REVISAR IMPORTE)</t>
  </si>
  <si>
    <t xml:space="preserve">0% (exento)</t>
  </si>
  <si>
    <t xml:space="preserve">7532745537.pdf</t>
  </si>
  <si>
    <t xml:space="preserve">7532745537</t>
  </si>
  <si>
    <t xml:space="preserve">06/07/2025</t>
  </si>
  <si>
    <t xml:space="preserve">Terminal + documentación + seguro cont. MNBU0233449</t>
  </si>
  <si>
    <t xml:space="preserve">7533442509.pdf</t>
  </si>
  <si>
    <t xml:space="preserve">7533442509</t>
  </si>
  <si>
    <t xml:space="preserve">18/07/2025</t>
  </si>
  <si>
    <t xml:space="preserve">Generador transporte terrestre cont. SUDU8020260</t>
  </si>
  <si>
    <t xml:space="preserve">7533441178.pdf</t>
  </si>
  <si>
    <t xml:space="preserve">7533441178</t>
  </si>
  <si>
    <t xml:space="preserve">Demoras terminal</t>
  </si>
  <si>
    <t xml:space="preserve">Recargo demora cont. SUDU8020260 (19 días)</t>
  </si>
  <si>
    <t xml:space="preserve">7533463809.pdf</t>
  </si>
  <si>
    <t xml:space="preserve">7533463809</t>
  </si>
  <si>
    <t xml:space="preserve">Recargo demora cont. MNBU0233449 (11 días)</t>
  </si>
  <si>
    <t xml:space="preserve">7533589808.pdf</t>
  </si>
  <si>
    <t xml:space="preserve">7533589808</t>
  </si>
  <si>
    <t xml:space="preserve">Recargo demora cont. SUDU6177121 (4 días)</t>
  </si>
  <si>
    <t xml:space="preserve">7533642938.pdf</t>
  </si>
  <si>
    <t xml:space="preserve">7533642938</t>
  </si>
  <si>
    <t xml:space="preserve">22/07/2025</t>
  </si>
  <si>
    <t xml:space="preserve">Recargo demora cont. SUDU6177121 (1 día)</t>
  </si>
  <si>
    <t xml:space="preserve">7533658621.pdf</t>
  </si>
  <si>
    <t xml:space="preserve">7533658621</t>
  </si>
  <si>
    <t xml:space="preserve">7533441271.pdf</t>
  </si>
  <si>
    <t xml:space="preserve">7533441271</t>
  </si>
  <si>
    <t xml:space="preserve">Detención contenedor</t>
  </si>
  <si>
    <t xml:space="preserve">Detención cont. SUDU8020260 (17 días)</t>
  </si>
  <si>
    <t xml:space="preserve">7533463896.pdf</t>
  </si>
  <si>
    <t xml:space="preserve">7533463896</t>
  </si>
  <si>
    <t xml:space="preserve">Detención cont. MNBU0233449 (9 días)</t>
  </si>
  <si>
    <t xml:space="preserve">7533590105.pdf</t>
  </si>
  <si>
    <t xml:space="preserve">7533590105</t>
  </si>
  <si>
    <t xml:space="preserve">Detención cont. SUDU6177121 (2 días)</t>
  </si>
  <si>
    <t xml:space="preserve">7533642998.pdf</t>
  </si>
  <si>
    <t xml:space="preserve">7533642998</t>
  </si>
  <si>
    <t xml:space="preserve">Detención cont. SUDU6177121 (1 día)</t>
  </si>
  <si>
    <t xml:space="preserve">7533658622.pdf</t>
  </si>
  <si>
    <t xml:space="preserve">7533658622</t>
  </si>
  <si>
    <t xml:space="preserve">7533677478.pdf</t>
  </si>
  <si>
    <t xml:space="preserve">7533677478</t>
  </si>
  <si>
    <t xml:space="preserve">23/07/2025</t>
  </si>
  <si>
    <t xml:space="preserve">Detención cont. MNBU4144463 (1 día)</t>
  </si>
  <si>
    <t xml:space="preserve">7536263946.PDF</t>
  </si>
  <si>
    <t xml:space="preserve">7536263946</t>
  </si>
  <si>
    <t xml:space="preserve">08/09/2025</t>
  </si>
  <si>
    <t xml:space="preserve">Maersk (factura a CSI-Fresh BV)</t>
  </si>
  <si>
    <t xml:space="preserve">Inspección cont. MNBU4144463 Rotterdam</t>
  </si>
  <si>
    <t xml:space="preserve">7537075071.pdf</t>
  </si>
  <si>
    <t xml:space="preserve">7537075071</t>
  </si>
  <si>
    <t xml:space="preserve">22/09/2025</t>
  </si>
  <si>
    <t xml:space="preserve">THC + documentación + seguro cont. MNBU4144463 Rotterdam</t>
  </si>
  <si>
    <t xml:space="preserve">FACTURA Pastorino.pdf</t>
  </si>
  <si>
    <t xml:space="preserve">06975016660</t>
  </si>
  <si>
    <t xml:space="preserve">15/09/2025</t>
  </si>
  <si>
    <t xml:space="preserve">El Corte Inglés SA</t>
  </si>
  <si>
    <t xml:space="preserve">Compras</t>
  </si>
  <si>
    <t xml:space="preserve">Compras decoración y ropa</t>
  </si>
  <si>
    <t xml:space="preserve">Factura Pastorino 2.pdf</t>
  </si>
  <si>
    <t xml:space="preserve">06975016374</t>
  </si>
  <si>
    <t xml:space="preserve">10/09/2025</t>
  </si>
  <si>
    <t xml:space="preserve">Compras hogar (ropa cama, baño, accesorios)</t>
  </si>
  <si>
    <t xml:space="preserve">Factura 23355T.pdf</t>
  </si>
  <si>
    <t xml:space="preserve">T-AUR-25/023355</t>
  </si>
  <si>
    <t xml:space="preserve">30/09/2025</t>
  </si>
  <si>
    <t xml:space="preserve">Soc. Andaluza de Publicidad (Copyrap)</t>
  </si>
  <si>
    <t xml:space="preserve">Publicidad</t>
  </si>
  <si>
    <t xml:space="preserve">100 tarjetas de visita impresas</t>
  </si>
  <si>
    <t xml:space="preserve">Invoice E 00005-00004696.pdf</t>
  </si>
  <si>
    <t xml:space="preserve">E 00005-00004696</t>
  </si>
  <si>
    <t xml:space="preserve">28/07/2025</t>
  </si>
  <si>
    <t xml:space="preserve">Cauquen Argentina SA</t>
  </si>
  <si>
    <t xml:space="preserve">Mercancía (importación)</t>
  </si>
  <si>
    <t xml:space="preserve">Limones FOB Argentina (1440 cajas, cont. MNBU4144463)</t>
  </si>
  <si>
    <t xml:space="preserve">N/A</t>
  </si>
  <si>
    <t xml:space="preserve">USD</t>
  </si>
  <si>
    <t xml:space="preserve">TOTAL GASTOS (EUR)</t>
  </si>
  <si>
    <t xml:space="preserve">Emisor</t>
  </si>
  <si>
    <t xml:space="preserve">Kg Netos</t>
  </si>
  <si>
    <t xml:space="preserve">Subtotal</t>
  </si>
  <si>
    <t xml:space="preserve">Dto. 10%</t>
  </si>
  <si>
    <t xml:space="preserve">IVA (4%)</t>
  </si>
  <si>
    <t xml:space="preserve">Factura proveedores - Borrador_20250807_090407.pdf</t>
  </si>
  <si>
    <t xml:space="preserve">10/07/2025</t>
  </si>
  <si>
    <t xml:space="preserve">Liquidación venta limones (1er envío, cont. SUDU8020260)</t>
  </si>
  <si>
    <t xml:space="preserve">Factura proveedores segundo envio - Borrador_20250816_075941.pdf</t>
  </si>
  <si>
    <t xml:space="preserve">Liquidación venta limones (2do envío)</t>
  </si>
  <si>
    <t xml:space="preserve">Factura proveedores tercer envio - Borrador_20250816_080043.pdf</t>
  </si>
  <si>
    <t xml:space="preserve">24/07/2025</t>
  </si>
  <si>
    <t xml:space="preserve">Liquidación venta limones (3er envío)</t>
  </si>
  <si>
    <t xml:space="preserve">Factura proveedores - cuarto envio Borrador_20250816_080156.pdf</t>
  </si>
  <si>
    <t xml:space="preserve">Liquidación venta limones (4to envío)</t>
  </si>
  <si>
    <t xml:space="preserve">TOTAL LIQUIDACIONES</t>
  </si>
  <si>
    <t xml:space="preserve">Tipo</t>
  </si>
  <si>
    <t xml:space="preserve">Descripción</t>
  </si>
  <si>
    <t xml:space="preserve">3575_250905150252_009.pdf</t>
  </si>
  <si>
    <t xml:space="preserve">05/09/2025</t>
  </si>
  <si>
    <t xml:space="preserve">CMR / Carta de porte</t>
  </si>
  <si>
    <t xml:space="preserve">Documento de transporte terrestre CSI-Fresh BV (Barendrecht, NL)</t>
  </si>
  <si>
    <t xml:space="preserve">3592_250908143329_001.pdf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</si>
</sst>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37474F"/>
        <bgColor rgb="FF555555"/>
      </patternFill>
    </fill>
    <fill>
      <patternFill patternType="solid">
        <fgColor rgb="FFE8F5E9"/>
        <bgColor rgb="FFE3F2FD"/>
      </patternFill>
    </fill>
    <fill>
      <patternFill patternType="solid">
        <fgColor rgb="FFF5F5F5"/>
        <bgColor rgb="FFE8F5E9"/>
      </patternFill>
    </fill>
    <fill>
      <patternFill patternType="solid">
        <fgColor rgb="FF2E7D32"/>
        <bgColor rgb="FF008000"/>
      </patternFill>
    </fill>
    <fill>
      <patternFill patternType="solid">
        <fgColor rgb="FFC62828"/>
        <bgColor rgb="FF993366"/>
      </patternFill>
    </fill>
    <fill>
      <patternFill patternType="solid">
        <fgColor rgb="FFFFF9C4"/>
        <bgColor rgb="FFF5F5F5"/>
      </patternFill>
    </fill>
    <fill>
      <patternFill patternType="solid">
        <fgColor rgb="FFFFEBEE"/>
        <bgColor rgb="FFF5F5F5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8F5E9"/>
      </patternFill>
    </fill>
    <fill>
      <patternFill patternType="solid">
        <fgColor rgb="FF6A1B9A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D32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1565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n">
        <v>4</v>
      </c>
      <c r="C6" s="6" t="n">
        <f aca="false">Ingresos!J6</f>
        <v>144535.63</v>
      </c>
    </row>
    <row r="7" customFormat="false" ht="15" hidden="false" customHeight="false" outlineLevel="0" collapsed="false">
      <c r="A7" s="7" t="s">
        <v>7</v>
      </c>
      <c r="B7" s="8" t="n">
        <v>4</v>
      </c>
      <c r="C7" s="9" t="n">
        <f aca="false">SUM(Gastos!K3:K6)</f>
        <v>3872</v>
      </c>
    </row>
    <row r="8" customFormat="false" ht="15" hidden="false" customHeight="false" outlineLevel="0" collapsed="false">
      <c r="A8" s="10" t="s">
        <v>8</v>
      </c>
      <c r="B8" s="11" t="n">
        <v>6</v>
      </c>
      <c r="C8" s="12" t="n">
        <f aca="false">SUM(Gastos!K7:K12)</f>
        <v>27532.9</v>
      </c>
    </row>
    <row r="9" customFormat="false" ht="15" hidden="false" customHeight="false" outlineLevel="0" collapsed="false">
      <c r="A9" s="7" t="s">
        <v>9</v>
      </c>
      <c r="B9" s="8" t="n">
        <v>1</v>
      </c>
      <c r="C9" s="9" t="n">
        <f aca="false">Gastos!K13</f>
        <v>6908.82</v>
      </c>
    </row>
    <row r="10" customFormat="false" ht="15" hidden="false" customHeight="false" outlineLevel="0" collapsed="false">
      <c r="A10" s="10" t="s">
        <v>10</v>
      </c>
      <c r="B10" s="11" t="n">
        <v>3</v>
      </c>
      <c r="C10" s="12" t="n">
        <f aca="false">SUM(Gastos!K14:K16)</f>
        <v>47.51</v>
      </c>
    </row>
    <row r="11" customFormat="false" ht="15" hidden="false" customHeight="false" outlineLevel="0" collapsed="false">
      <c r="A11" s="7" t="s">
        <v>11</v>
      </c>
      <c r="B11" s="8" t="n">
        <v>3</v>
      </c>
      <c r="C11" s="9" t="n">
        <f aca="false">SUM(Gastos!K17:K19)</f>
        <v>501</v>
      </c>
    </row>
    <row r="12" customFormat="false" ht="15" hidden="false" customHeight="false" outlineLevel="0" collapsed="false">
      <c r="A12" s="10" t="s">
        <v>12</v>
      </c>
      <c r="B12" s="11" t="n">
        <v>5</v>
      </c>
      <c r="C12" s="12" t="n">
        <f aca="false">SUM(Gastos!K20:K24)</f>
        <v>4590</v>
      </c>
    </row>
    <row r="13" customFormat="false" ht="15" hidden="false" customHeight="false" outlineLevel="0" collapsed="false">
      <c r="A13" s="7" t="s">
        <v>13</v>
      </c>
      <c r="B13" s="8" t="n">
        <v>6</v>
      </c>
      <c r="C13" s="9" t="n">
        <f aca="false">SUM(Gastos!K25:K30)</f>
        <v>5580</v>
      </c>
    </row>
    <row r="14" customFormat="false" ht="15" hidden="false" customHeight="false" outlineLevel="0" collapsed="false">
      <c r="A14" s="10" t="s">
        <v>14</v>
      </c>
      <c r="B14" s="11" t="n">
        <v>2</v>
      </c>
      <c r="C14" s="12" t="n">
        <f aca="false">SUM(Gastos!K31:K32)</f>
        <v>648</v>
      </c>
    </row>
    <row r="15" customFormat="false" ht="15" hidden="false" customHeight="false" outlineLevel="0" collapsed="false">
      <c r="A15" s="7" t="s">
        <v>15</v>
      </c>
      <c r="B15" s="8" t="n">
        <v>2</v>
      </c>
      <c r="C15" s="9" t="n">
        <f aca="false">SUM(Gastos!K33:K34)</f>
        <v>1227.11</v>
      </c>
    </row>
    <row r="16" customFormat="false" ht="15" hidden="false" customHeight="false" outlineLevel="0" collapsed="false">
      <c r="A16" s="10" t="s">
        <v>16</v>
      </c>
      <c r="B16" s="11" t="n">
        <v>1</v>
      </c>
      <c r="C16" s="12" t="n">
        <f aca="false">Gastos!K35</f>
        <v>42.42</v>
      </c>
    </row>
    <row r="17" customFormat="false" ht="15" hidden="false" customHeight="false" outlineLevel="0" collapsed="false">
      <c r="A17" s="7" t="s">
        <v>17</v>
      </c>
      <c r="B17" s="8" t="n">
        <v>1</v>
      </c>
      <c r="C17" s="9" t="n">
        <f aca="false">Gastos!K2</f>
        <v>536.75</v>
      </c>
    </row>
    <row r="18" customFormat="false" ht="15" hidden="false" customHeight="false" outlineLevel="0" collapsed="false">
      <c r="A18" s="10" t="s">
        <v>18</v>
      </c>
      <c r="B18" s="11" t="n">
        <v>1</v>
      </c>
      <c r="C18" s="13" t="s">
        <v>19</v>
      </c>
    </row>
    <row r="20" customFormat="false" ht="15" hidden="false" customHeight="false" outlineLevel="0" collapsed="false">
      <c r="A20" s="14" t="s">
        <v>20</v>
      </c>
      <c r="C20" s="15" t="n">
        <f aca="false">Ingresos!J6</f>
        <v>144535.63</v>
      </c>
    </row>
    <row r="21" customFormat="false" ht="15" hidden="false" customHeight="false" outlineLevel="0" collapsed="false">
      <c r="A21" s="16" t="s">
        <v>21</v>
      </c>
      <c r="C21" s="17" t="n">
        <f aca="false">Gastos!K37</f>
        <v>60286.51</v>
      </c>
    </row>
    <row r="23" customFormat="false" ht="15" hidden="false" customHeight="false" outlineLevel="0" collapsed="false">
      <c r="A23" s="18" t="s">
        <v>22</v>
      </c>
    </row>
    <row r="24" customFormat="false" ht="15" hidden="false" customHeight="false" outlineLevel="0" collapsed="false">
      <c r="A24" s="19" t="s">
        <v>23</v>
      </c>
    </row>
    <row r="25" customFormat="false" ht="15" hidden="false" customHeight="false" outlineLevel="0" collapsed="false">
      <c r="A25" s="19" t="s">
        <v>24</v>
      </c>
    </row>
    <row r="26" customFormat="false" ht="15" hidden="false" customHeight="false" outlineLevel="0" collapsed="false">
      <c r="A26" s="19" t="s">
        <v>25</v>
      </c>
    </row>
    <row r="27" customFormat="false" ht="15" hidden="false" customHeight="false" outlineLevel="0" collapsed="false">
      <c r="A27" s="19" t="s">
        <v>26</v>
      </c>
    </row>
    <row r="28" customFormat="false" ht="15" hidden="false" customHeight="false" outlineLevel="0" collapsed="false">
      <c r="A28" s="1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5"/>
    <col collapsed="false" customWidth="true" hidden="false" outlineLevel="0" max="6" min="6" style="0" width="45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20" t="s">
        <v>28</v>
      </c>
      <c r="B1" s="20" t="s">
        <v>29</v>
      </c>
      <c r="C1" s="20" t="s">
        <v>30</v>
      </c>
      <c r="D1" s="20" t="s">
        <v>31</v>
      </c>
      <c r="E1" s="20" t="s">
        <v>32</v>
      </c>
      <c r="F1" s="20" t="s">
        <v>33</v>
      </c>
      <c r="G1" s="20" t="s">
        <v>34</v>
      </c>
      <c r="H1" s="20" t="s">
        <v>35</v>
      </c>
      <c r="I1" s="20" t="s">
        <v>36</v>
      </c>
      <c r="J1" s="20" t="s">
        <v>37</v>
      </c>
    </row>
    <row r="2" customFormat="false" ht="15" hidden="false" customHeight="false" outlineLevel="0" collapsed="false">
      <c r="A2" s="21" t="n">
        <v>1</v>
      </c>
      <c r="B2" s="21" t="s">
        <v>38</v>
      </c>
      <c r="C2" s="21" t="s">
        <v>39</v>
      </c>
      <c r="D2" s="21" t="s">
        <v>40</v>
      </c>
      <c r="E2" s="21" t="s">
        <v>41</v>
      </c>
      <c r="F2" s="21" t="s">
        <v>42</v>
      </c>
      <c r="G2" s="22" t="n">
        <v>34117.2</v>
      </c>
      <c r="H2" s="21" t="s">
        <v>43</v>
      </c>
      <c r="I2" s="22" t="n">
        <v>1364.69</v>
      </c>
      <c r="J2" s="22" t="n">
        <v>35481.89</v>
      </c>
    </row>
    <row r="3" customFormat="false" ht="15" hidden="false" customHeight="false" outlineLevel="0" collapsed="false">
      <c r="A3" s="23" t="n">
        <v>2</v>
      </c>
      <c r="B3" s="23" t="s">
        <v>44</v>
      </c>
      <c r="C3" s="23" t="s">
        <v>45</v>
      </c>
      <c r="D3" s="23" t="s">
        <v>46</v>
      </c>
      <c r="E3" s="23" t="s">
        <v>41</v>
      </c>
      <c r="F3" s="23" t="s">
        <v>47</v>
      </c>
      <c r="G3" s="24" t="n">
        <v>34933.68</v>
      </c>
      <c r="H3" s="23" t="s">
        <v>43</v>
      </c>
      <c r="I3" s="24" t="n">
        <v>1397.34</v>
      </c>
      <c r="J3" s="24" t="n">
        <v>36331.02</v>
      </c>
    </row>
    <row r="4" customFormat="false" ht="15" hidden="false" customHeight="false" outlineLevel="0" collapsed="false">
      <c r="A4" s="21" t="n">
        <v>3</v>
      </c>
      <c r="B4" s="21" t="s">
        <v>48</v>
      </c>
      <c r="C4" s="21" t="s">
        <v>49</v>
      </c>
      <c r="D4" s="21" t="s">
        <v>46</v>
      </c>
      <c r="E4" s="21" t="s">
        <v>41</v>
      </c>
      <c r="F4" s="21" t="s">
        <v>50</v>
      </c>
      <c r="G4" s="22" t="n">
        <v>34992</v>
      </c>
      <c r="H4" s="21" t="s">
        <v>43</v>
      </c>
      <c r="I4" s="22" t="n">
        <v>1399.69</v>
      </c>
      <c r="J4" s="22" t="n">
        <v>36391.69</v>
      </c>
    </row>
    <row r="5" customFormat="false" ht="15" hidden="false" customHeight="false" outlineLevel="0" collapsed="false">
      <c r="A5" s="23" t="n">
        <v>4</v>
      </c>
      <c r="B5" s="23" t="s">
        <v>51</v>
      </c>
      <c r="C5" s="23" t="s">
        <v>52</v>
      </c>
      <c r="D5" s="23" t="s">
        <v>46</v>
      </c>
      <c r="E5" s="23" t="s">
        <v>41</v>
      </c>
      <c r="F5" s="23" t="s">
        <v>53</v>
      </c>
      <c r="G5" s="24" t="n">
        <v>34933.68</v>
      </c>
      <c r="H5" s="23" t="s">
        <v>43</v>
      </c>
      <c r="I5" s="24" t="n">
        <v>1397.35</v>
      </c>
      <c r="J5" s="24" t="n">
        <v>36331.03</v>
      </c>
    </row>
    <row r="6" customFormat="false" ht="15" hidden="false" customHeight="false" outlineLevel="0" collapsed="false">
      <c r="F6" s="18" t="s">
        <v>20</v>
      </c>
      <c r="G6" s="25" t="n">
        <f aca="false">SUM(G2:G5)</f>
        <v>138976.56</v>
      </c>
      <c r="I6" s="25" t="n">
        <f aca="false">SUM(I2:I5)</f>
        <v>5559.07</v>
      </c>
      <c r="J6" s="25" t="n">
        <f aca="false">SUM(J2:J5)</f>
        <v>144535.63</v>
      </c>
    </row>
  </sheetData>
  <autoFilter ref="A1:J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50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8"/>
  </cols>
  <sheetData>
    <row r="1" customFormat="false" ht="30" hidden="false" customHeight="true" outlineLevel="0" collapsed="false">
      <c r="A1" s="26" t="s">
        <v>28</v>
      </c>
      <c r="B1" s="26" t="s">
        <v>29</v>
      </c>
      <c r="C1" s="26" t="s">
        <v>30</v>
      </c>
      <c r="D1" s="26" t="s">
        <v>31</v>
      </c>
      <c r="E1" s="26" t="s">
        <v>54</v>
      </c>
      <c r="F1" s="26" t="s">
        <v>3</v>
      </c>
      <c r="G1" s="26" t="s">
        <v>33</v>
      </c>
      <c r="H1" s="26" t="s">
        <v>34</v>
      </c>
      <c r="I1" s="26" t="s">
        <v>35</v>
      </c>
      <c r="J1" s="26" t="s">
        <v>36</v>
      </c>
      <c r="K1" s="26" t="s">
        <v>37</v>
      </c>
      <c r="L1" s="26" t="s">
        <v>55</v>
      </c>
    </row>
    <row r="2" customFormat="false" ht="15" hidden="false" customHeight="false" outlineLevel="0" collapsed="false">
      <c r="A2" s="21" t="n">
        <v>1</v>
      </c>
      <c r="B2" s="21" t="s">
        <v>56</v>
      </c>
      <c r="C2" s="21" t="s">
        <v>57</v>
      </c>
      <c r="D2" s="21" t="s">
        <v>58</v>
      </c>
      <c r="E2" s="21" t="s">
        <v>59</v>
      </c>
      <c r="F2" s="21" t="s">
        <v>60</v>
      </c>
      <c r="G2" s="21" t="s">
        <v>61</v>
      </c>
      <c r="H2" s="22" t="n">
        <v>500</v>
      </c>
      <c r="I2" s="21" t="s">
        <v>62</v>
      </c>
      <c r="J2" s="22" t="n">
        <v>36.75</v>
      </c>
      <c r="K2" s="22" t="n">
        <v>536.75</v>
      </c>
      <c r="L2" s="21" t="s">
        <v>63</v>
      </c>
    </row>
    <row r="3" customFormat="false" ht="15" hidden="false" customHeight="false" outlineLevel="0" collapsed="false">
      <c r="A3" s="23" t="n">
        <v>2</v>
      </c>
      <c r="B3" s="23" t="s">
        <v>64</v>
      </c>
      <c r="C3" s="23" t="s">
        <v>65</v>
      </c>
      <c r="D3" s="23" t="s">
        <v>66</v>
      </c>
      <c r="E3" s="23" t="s">
        <v>67</v>
      </c>
      <c r="F3" s="23" t="s">
        <v>68</v>
      </c>
      <c r="G3" s="23" t="s">
        <v>69</v>
      </c>
      <c r="H3" s="24" t="n">
        <v>800</v>
      </c>
      <c r="I3" s="23" t="s">
        <v>70</v>
      </c>
      <c r="J3" s="24" t="n">
        <v>168</v>
      </c>
      <c r="K3" s="24" t="n">
        <v>968</v>
      </c>
      <c r="L3" s="23" t="s">
        <v>63</v>
      </c>
    </row>
    <row r="4" customFormat="false" ht="15" hidden="false" customHeight="false" outlineLevel="0" collapsed="false">
      <c r="A4" s="21" t="n">
        <v>3</v>
      </c>
      <c r="B4" s="21" t="s">
        <v>71</v>
      </c>
      <c r="C4" s="21" t="s">
        <v>72</v>
      </c>
      <c r="D4" s="21" t="s">
        <v>73</v>
      </c>
      <c r="E4" s="21" t="s">
        <v>67</v>
      </c>
      <c r="F4" s="21" t="s">
        <v>68</v>
      </c>
      <c r="G4" s="21" t="s">
        <v>69</v>
      </c>
      <c r="H4" s="22" t="n">
        <v>800</v>
      </c>
      <c r="I4" s="21" t="s">
        <v>70</v>
      </c>
      <c r="J4" s="22" t="n">
        <v>168</v>
      </c>
      <c r="K4" s="22" t="n">
        <v>968</v>
      </c>
      <c r="L4" s="21" t="s">
        <v>63</v>
      </c>
    </row>
    <row r="5" customFormat="false" ht="15" hidden="false" customHeight="false" outlineLevel="0" collapsed="false">
      <c r="A5" s="23" t="n">
        <v>4</v>
      </c>
      <c r="B5" s="23" t="s">
        <v>74</v>
      </c>
      <c r="C5" s="23" t="s">
        <v>75</v>
      </c>
      <c r="D5" s="23" t="s">
        <v>76</v>
      </c>
      <c r="E5" s="23" t="s">
        <v>67</v>
      </c>
      <c r="F5" s="23" t="s">
        <v>68</v>
      </c>
      <c r="G5" s="23" t="s">
        <v>77</v>
      </c>
      <c r="H5" s="24" t="n">
        <v>800</v>
      </c>
      <c r="I5" s="23" t="s">
        <v>70</v>
      </c>
      <c r="J5" s="24" t="n">
        <v>168</v>
      </c>
      <c r="K5" s="24" t="n">
        <v>968</v>
      </c>
      <c r="L5" s="23" t="s">
        <v>63</v>
      </c>
    </row>
    <row r="6" customFormat="false" ht="15" hidden="false" customHeight="false" outlineLevel="0" collapsed="false">
      <c r="A6" s="21" t="n">
        <v>5</v>
      </c>
      <c r="B6" s="21" t="s">
        <v>78</v>
      </c>
      <c r="C6" s="21" t="s">
        <v>79</v>
      </c>
      <c r="D6" s="21" t="s">
        <v>80</v>
      </c>
      <c r="E6" s="21" t="s">
        <v>67</v>
      </c>
      <c r="F6" s="21" t="s">
        <v>68</v>
      </c>
      <c r="G6" s="21" t="s">
        <v>69</v>
      </c>
      <c r="H6" s="22" t="n">
        <v>800</v>
      </c>
      <c r="I6" s="21" t="s">
        <v>70</v>
      </c>
      <c r="J6" s="22" t="n">
        <v>168</v>
      </c>
      <c r="K6" s="22" t="n">
        <v>968</v>
      </c>
      <c r="L6" s="21" t="s">
        <v>63</v>
      </c>
    </row>
    <row r="7" customFormat="false" ht="15" hidden="false" customHeight="false" outlineLevel="0" collapsed="false">
      <c r="A7" s="23" t="n">
        <v>6</v>
      </c>
      <c r="B7" s="23" t="s">
        <v>81</v>
      </c>
      <c r="C7" s="23" t="s">
        <v>82</v>
      </c>
      <c r="D7" s="23" t="s">
        <v>83</v>
      </c>
      <c r="E7" s="23" t="s">
        <v>67</v>
      </c>
      <c r="F7" s="23" t="s">
        <v>84</v>
      </c>
      <c r="G7" s="23" t="s">
        <v>85</v>
      </c>
      <c r="H7" s="24" t="n">
        <v>7294.33</v>
      </c>
      <c r="I7" s="23" t="s">
        <v>86</v>
      </c>
      <c r="J7" s="24" t="n">
        <v>483.53</v>
      </c>
      <c r="K7" s="24" t="n">
        <v>7777.86</v>
      </c>
      <c r="L7" s="23" t="s">
        <v>63</v>
      </c>
    </row>
    <row r="8" customFormat="false" ht="15" hidden="false" customHeight="false" outlineLevel="0" collapsed="false">
      <c r="A8" s="21" t="n">
        <v>7</v>
      </c>
      <c r="B8" s="21" t="s">
        <v>87</v>
      </c>
      <c r="C8" s="21" t="s">
        <v>88</v>
      </c>
      <c r="D8" s="21" t="s">
        <v>83</v>
      </c>
      <c r="E8" s="21" t="s">
        <v>67</v>
      </c>
      <c r="F8" s="21" t="s">
        <v>84</v>
      </c>
      <c r="G8" s="21" t="s">
        <v>89</v>
      </c>
      <c r="H8" s="22" t="n">
        <v>7608.29</v>
      </c>
      <c r="I8" s="21" t="s">
        <v>86</v>
      </c>
      <c r="J8" s="22" t="n">
        <v>380.36</v>
      </c>
      <c r="K8" s="22" t="n">
        <v>7988.65</v>
      </c>
      <c r="L8" s="21" t="s">
        <v>63</v>
      </c>
    </row>
    <row r="9" customFormat="false" ht="15" hidden="false" customHeight="false" outlineLevel="0" collapsed="false">
      <c r="A9" s="23" t="n">
        <v>8</v>
      </c>
      <c r="B9" s="23" t="s">
        <v>90</v>
      </c>
      <c r="C9" s="23" t="s">
        <v>91</v>
      </c>
      <c r="D9" s="23" t="s">
        <v>83</v>
      </c>
      <c r="E9" s="23" t="s">
        <v>67</v>
      </c>
      <c r="F9" s="23" t="s">
        <v>84</v>
      </c>
      <c r="G9" s="23" t="s">
        <v>92</v>
      </c>
      <c r="H9" s="24" t="n">
        <v>7372.26</v>
      </c>
      <c r="I9" s="23" t="s">
        <v>86</v>
      </c>
      <c r="J9" s="24" t="n">
        <v>371.44</v>
      </c>
      <c r="K9" s="24" t="n">
        <v>7743.7</v>
      </c>
      <c r="L9" s="23" t="s">
        <v>63</v>
      </c>
    </row>
    <row r="10" customFormat="false" ht="15" hidden="false" customHeight="false" outlineLevel="0" collapsed="false">
      <c r="A10" s="21" t="n">
        <v>9</v>
      </c>
      <c r="B10" s="21" t="s">
        <v>93</v>
      </c>
      <c r="C10" s="21" t="s">
        <v>94</v>
      </c>
      <c r="D10" s="21" t="s">
        <v>95</v>
      </c>
      <c r="E10" s="21" t="s">
        <v>67</v>
      </c>
      <c r="F10" s="21" t="s">
        <v>84</v>
      </c>
      <c r="G10" s="21" t="s">
        <v>96</v>
      </c>
      <c r="H10" s="22" t="n">
        <v>11040.63</v>
      </c>
      <c r="I10" s="21" t="s">
        <v>86</v>
      </c>
      <c r="J10" s="22" t="n">
        <v>250.38</v>
      </c>
      <c r="K10" s="22" t="n">
        <v>11291.01</v>
      </c>
      <c r="L10" s="21" t="s">
        <v>63</v>
      </c>
    </row>
    <row r="11" customFormat="false" ht="15" hidden="false" customHeight="false" outlineLevel="0" collapsed="false">
      <c r="A11" s="23" t="n">
        <v>10</v>
      </c>
      <c r="B11" s="23" t="s">
        <v>97</v>
      </c>
      <c r="C11" s="23" t="s">
        <v>98</v>
      </c>
      <c r="D11" s="23" t="s">
        <v>99</v>
      </c>
      <c r="E11" s="23" t="s">
        <v>67</v>
      </c>
      <c r="F11" s="23" t="s">
        <v>84</v>
      </c>
      <c r="G11" s="23" t="s">
        <v>100</v>
      </c>
      <c r="H11" s="24" t="n">
        <v>1880.3</v>
      </c>
      <c r="I11" s="23" t="s">
        <v>86</v>
      </c>
      <c r="J11" s="24" t="n">
        <v>250.38</v>
      </c>
      <c r="K11" s="24" t="n">
        <v>2130.68</v>
      </c>
      <c r="L11" s="23" t="s">
        <v>63</v>
      </c>
    </row>
    <row r="12" customFormat="false" ht="15" hidden="false" customHeight="false" outlineLevel="0" collapsed="false">
      <c r="A12" s="21" t="n">
        <v>11</v>
      </c>
      <c r="B12" s="21" t="s">
        <v>101</v>
      </c>
      <c r="C12" s="21" t="s">
        <v>102</v>
      </c>
      <c r="D12" s="21" t="s">
        <v>99</v>
      </c>
      <c r="E12" s="21" t="s">
        <v>67</v>
      </c>
      <c r="F12" s="21" t="s">
        <v>103</v>
      </c>
      <c r="G12" s="21" t="s">
        <v>104</v>
      </c>
      <c r="H12" s="22" t="n">
        <v>-9148.62</v>
      </c>
      <c r="I12" s="21" t="s">
        <v>86</v>
      </c>
      <c r="J12" s="22" t="n">
        <v>-250.38</v>
      </c>
      <c r="K12" s="22" t="n">
        <v>-9399</v>
      </c>
      <c r="L12" s="21" t="s">
        <v>63</v>
      </c>
    </row>
    <row r="13" customFormat="false" ht="15" hidden="false" customHeight="false" outlineLevel="0" collapsed="false">
      <c r="A13" s="23" t="n">
        <v>12</v>
      </c>
      <c r="B13" s="23" t="s">
        <v>105</v>
      </c>
      <c r="C13" s="23" t="s">
        <v>106</v>
      </c>
      <c r="D13" s="23" t="s">
        <v>107</v>
      </c>
      <c r="E13" s="23" t="s">
        <v>108</v>
      </c>
      <c r="F13" s="23" t="s">
        <v>84</v>
      </c>
      <c r="G13" s="23" t="s">
        <v>109</v>
      </c>
      <c r="H13" s="24" t="n">
        <v>6908.82</v>
      </c>
      <c r="I13" s="23" t="s">
        <v>110</v>
      </c>
      <c r="J13" s="24" t="n">
        <v>0</v>
      </c>
      <c r="K13" s="24" t="n">
        <v>6908.82</v>
      </c>
      <c r="L13" s="23" t="s">
        <v>63</v>
      </c>
    </row>
    <row r="14" customFormat="false" ht="15" hidden="false" customHeight="false" outlineLevel="0" collapsed="false">
      <c r="A14" s="21" t="n">
        <v>13</v>
      </c>
      <c r="B14" s="21" t="s">
        <v>111</v>
      </c>
      <c r="C14" s="21" t="s">
        <v>112</v>
      </c>
      <c r="D14" s="21" t="s">
        <v>113</v>
      </c>
      <c r="E14" s="21" t="s">
        <v>114</v>
      </c>
      <c r="F14" s="21" t="s">
        <v>115</v>
      </c>
      <c r="G14" s="21" t="s">
        <v>116</v>
      </c>
      <c r="H14" s="22" t="n">
        <v>14.8</v>
      </c>
      <c r="I14" s="21" t="s">
        <v>117</v>
      </c>
      <c r="J14" s="22" t="n">
        <v>0</v>
      </c>
      <c r="K14" s="22" t="n">
        <v>14.8</v>
      </c>
      <c r="L14" s="21" t="s">
        <v>63</v>
      </c>
    </row>
    <row r="15" customFormat="false" ht="15" hidden="false" customHeight="false" outlineLevel="0" collapsed="false">
      <c r="A15" s="23" t="n">
        <v>14</v>
      </c>
      <c r="B15" s="23" t="s">
        <v>118</v>
      </c>
      <c r="C15" s="23" t="s">
        <v>119</v>
      </c>
      <c r="D15" s="23" t="s">
        <v>120</v>
      </c>
      <c r="E15" s="23" t="s">
        <v>114</v>
      </c>
      <c r="F15" s="23" t="s">
        <v>115</v>
      </c>
      <c r="G15" s="23" t="s">
        <v>121</v>
      </c>
      <c r="H15" s="24" t="n">
        <v>14.8</v>
      </c>
      <c r="I15" s="23" t="s">
        <v>117</v>
      </c>
      <c r="J15" s="24" t="n">
        <v>0</v>
      </c>
      <c r="K15" s="24" t="n">
        <v>14.8</v>
      </c>
      <c r="L15" s="23" t="s">
        <v>63</v>
      </c>
    </row>
    <row r="16" customFormat="false" ht="15" hidden="false" customHeight="false" outlineLevel="0" collapsed="false">
      <c r="A16" s="21" t="n">
        <v>15</v>
      </c>
      <c r="B16" s="21" t="s">
        <v>122</v>
      </c>
      <c r="C16" s="21" t="s">
        <v>123</v>
      </c>
      <c r="D16" s="21" t="s">
        <v>124</v>
      </c>
      <c r="E16" s="21" t="s">
        <v>125</v>
      </c>
      <c r="F16" s="21" t="s">
        <v>115</v>
      </c>
      <c r="G16" s="21" t="s">
        <v>126</v>
      </c>
      <c r="H16" s="22" t="n">
        <v>14.8</v>
      </c>
      <c r="I16" s="21" t="s">
        <v>70</v>
      </c>
      <c r="J16" s="22" t="n">
        <v>3.11</v>
      </c>
      <c r="K16" s="22" t="n">
        <v>17.91</v>
      </c>
      <c r="L16" s="21" t="s">
        <v>63</v>
      </c>
    </row>
    <row r="17" customFormat="false" ht="15" hidden="false" customHeight="false" outlineLevel="0" collapsed="false">
      <c r="A17" s="27" t="n">
        <v>16</v>
      </c>
      <c r="B17" s="27" t="s">
        <v>127</v>
      </c>
      <c r="C17" s="27" t="s">
        <v>128</v>
      </c>
      <c r="D17" s="27" t="s">
        <v>129</v>
      </c>
      <c r="E17" s="27" t="s">
        <v>130</v>
      </c>
      <c r="F17" s="27" t="s">
        <v>131</v>
      </c>
      <c r="G17" s="27" t="s">
        <v>132</v>
      </c>
      <c r="H17" s="28"/>
      <c r="I17" s="27" t="s">
        <v>133</v>
      </c>
      <c r="J17" s="28"/>
      <c r="K17" s="28"/>
      <c r="L17" s="27" t="s">
        <v>63</v>
      </c>
    </row>
    <row r="18" customFormat="false" ht="15" hidden="false" customHeight="false" outlineLevel="0" collapsed="false">
      <c r="A18" s="21" t="n">
        <v>17</v>
      </c>
      <c r="B18" s="21" t="s">
        <v>134</v>
      </c>
      <c r="C18" s="21" t="s">
        <v>135</v>
      </c>
      <c r="D18" s="21" t="s">
        <v>136</v>
      </c>
      <c r="E18" s="21" t="s">
        <v>130</v>
      </c>
      <c r="F18" s="21" t="s">
        <v>131</v>
      </c>
      <c r="G18" s="21" t="s">
        <v>137</v>
      </c>
      <c r="H18" s="22" t="n">
        <v>378</v>
      </c>
      <c r="I18" s="21" t="s">
        <v>133</v>
      </c>
      <c r="J18" s="22" t="n">
        <v>0</v>
      </c>
      <c r="K18" s="22" t="n">
        <v>378</v>
      </c>
      <c r="L18" s="21" t="s">
        <v>63</v>
      </c>
    </row>
    <row r="19" customFormat="false" ht="15" hidden="false" customHeight="false" outlineLevel="0" collapsed="false">
      <c r="A19" s="23" t="n">
        <v>18</v>
      </c>
      <c r="B19" s="23" t="s">
        <v>138</v>
      </c>
      <c r="C19" s="23" t="s">
        <v>139</v>
      </c>
      <c r="D19" s="23" t="s">
        <v>140</v>
      </c>
      <c r="E19" s="23" t="s">
        <v>130</v>
      </c>
      <c r="F19" s="23" t="s">
        <v>131</v>
      </c>
      <c r="G19" s="23" t="s">
        <v>141</v>
      </c>
      <c r="H19" s="24" t="n">
        <v>123</v>
      </c>
      <c r="I19" s="23" t="s">
        <v>133</v>
      </c>
      <c r="J19" s="24" t="n">
        <v>0</v>
      </c>
      <c r="K19" s="24" t="n">
        <v>123</v>
      </c>
      <c r="L19" s="23" t="s">
        <v>63</v>
      </c>
    </row>
    <row r="20" customFormat="false" ht="15" hidden="false" customHeight="false" outlineLevel="0" collapsed="false">
      <c r="A20" s="21" t="n">
        <v>19</v>
      </c>
      <c r="B20" s="21" t="s">
        <v>142</v>
      </c>
      <c r="C20" s="21" t="s">
        <v>143</v>
      </c>
      <c r="D20" s="21" t="s">
        <v>140</v>
      </c>
      <c r="E20" s="21" t="s">
        <v>130</v>
      </c>
      <c r="F20" s="21" t="s">
        <v>144</v>
      </c>
      <c r="G20" s="21" t="s">
        <v>145</v>
      </c>
      <c r="H20" s="22" t="n">
        <v>2510</v>
      </c>
      <c r="I20" s="21" t="s">
        <v>133</v>
      </c>
      <c r="J20" s="22" t="n">
        <v>0</v>
      </c>
      <c r="K20" s="22" t="n">
        <v>2510</v>
      </c>
      <c r="L20" s="21" t="s">
        <v>63</v>
      </c>
    </row>
    <row r="21" customFormat="false" ht="15" hidden="false" customHeight="false" outlineLevel="0" collapsed="false">
      <c r="A21" s="23" t="n">
        <v>20</v>
      </c>
      <c r="B21" s="23" t="s">
        <v>146</v>
      </c>
      <c r="C21" s="23" t="s">
        <v>147</v>
      </c>
      <c r="D21" s="23" t="s">
        <v>140</v>
      </c>
      <c r="E21" s="23" t="s">
        <v>130</v>
      </c>
      <c r="F21" s="23" t="s">
        <v>144</v>
      </c>
      <c r="G21" s="23" t="s">
        <v>148</v>
      </c>
      <c r="H21" s="24" t="n">
        <v>1390</v>
      </c>
      <c r="I21" s="23" t="s">
        <v>133</v>
      </c>
      <c r="J21" s="24" t="n">
        <v>0</v>
      </c>
      <c r="K21" s="24" t="n">
        <v>1390</v>
      </c>
      <c r="L21" s="23" t="s">
        <v>63</v>
      </c>
    </row>
    <row r="22" customFormat="false" ht="15" hidden="false" customHeight="false" outlineLevel="0" collapsed="false">
      <c r="A22" s="21" t="n">
        <v>21</v>
      </c>
      <c r="B22" s="21" t="s">
        <v>149</v>
      </c>
      <c r="C22" s="21" t="s">
        <v>150</v>
      </c>
      <c r="D22" s="21" t="s">
        <v>129</v>
      </c>
      <c r="E22" s="21" t="s">
        <v>130</v>
      </c>
      <c r="F22" s="21" t="s">
        <v>144</v>
      </c>
      <c r="G22" s="21" t="s">
        <v>151</v>
      </c>
      <c r="H22" s="22" t="n">
        <v>440</v>
      </c>
      <c r="I22" s="21" t="s">
        <v>133</v>
      </c>
      <c r="J22" s="22" t="n">
        <v>0</v>
      </c>
      <c r="K22" s="22" t="n">
        <v>440</v>
      </c>
      <c r="L22" s="21" t="s">
        <v>63</v>
      </c>
    </row>
    <row r="23" customFormat="false" ht="15" hidden="false" customHeight="false" outlineLevel="0" collapsed="false">
      <c r="A23" s="23" t="n">
        <v>22</v>
      </c>
      <c r="B23" s="23" t="s">
        <v>152</v>
      </c>
      <c r="C23" s="23" t="s">
        <v>153</v>
      </c>
      <c r="D23" s="23" t="s">
        <v>154</v>
      </c>
      <c r="E23" s="23" t="s">
        <v>130</v>
      </c>
      <c r="F23" s="23" t="s">
        <v>144</v>
      </c>
      <c r="G23" s="23" t="s">
        <v>155</v>
      </c>
      <c r="H23" s="24" t="n">
        <v>110</v>
      </c>
      <c r="I23" s="23" t="s">
        <v>133</v>
      </c>
      <c r="J23" s="24" t="n">
        <v>0</v>
      </c>
      <c r="K23" s="24" t="n">
        <v>110</v>
      </c>
      <c r="L23" s="23" t="s">
        <v>63</v>
      </c>
    </row>
    <row r="24" customFormat="false" ht="15" hidden="false" customHeight="false" outlineLevel="0" collapsed="false">
      <c r="A24" s="21" t="n">
        <v>23</v>
      </c>
      <c r="B24" s="21" t="s">
        <v>156</v>
      </c>
      <c r="C24" s="21" t="s">
        <v>157</v>
      </c>
      <c r="D24" s="21" t="s">
        <v>154</v>
      </c>
      <c r="E24" s="21" t="s">
        <v>130</v>
      </c>
      <c r="F24" s="21" t="s">
        <v>144</v>
      </c>
      <c r="G24" s="21" t="s">
        <v>155</v>
      </c>
      <c r="H24" s="22" t="n">
        <v>140</v>
      </c>
      <c r="I24" s="21" t="s">
        <v>133</v>
      </c>
      <c r="J24" s="22" t="n">
        <v>0</v>
      </c>
      <c r="K24" s="22" t="n">
        <v>140</v>
      </c>
      <c r="L24" s="21" t="s">
        <v>63</v>
      </c>
    </row>
    <row r="25" customFormat="false" ht="15" hidden="false" customHeight="false" outlineLevel="0" collapsed="false">
      <c r="A25" s="23" t="n">
        <v>24</v>
      </c>
      <c r="B25" s="23" t="s">
        <v>158</v>
      </c>
      <c r="C25" s="23" t="s">
        <v>159</v>
      </c>
      <c r="D25" s="23" t="s">
        <v>140</v>
      </c>
      <c r="E25" s="23" t="s">
        <v>130</v>
      </c>
      <c r="F25" s="23" t="s">
        <v>160</v>
      </c>
      <c r="G25" s="23" t="s">
        <v>161</v>
      </c>
      <c r="H25" s="24" t="n">
        <v>3060</v>
      </c>
      <c r="I25" s="23" t="s">
        <v>133</v>
      </c>
      <c r="J25" s="24" t="n">
        <v>0</v>
      </c>
      <c r="K25" s="24" t="n">
        <v>3060</v>
      </c>
      <c r="L25" s="23" t="s">
        <v>63</v>
      </c>
    </row>
    <row r="26" customFormat="false" ht="15" hidden="false" customHeight="false" outlineLevel="0" collapsed="false">
      <c r="A26" s="21" t="n">
        <v>25</v>
      </c>
      <c r="B26" s="21" t="s">
        <v>162</v>
      </c>
      <c r="C26" s="21" t="s">
        <v>163</v>
      </c>
      <c r="D26" s="21" t="s">
        <v>140</v>
      </c>
      <c r="E26" s="21" t="s">
        <v>130</v>
      </c>
      <c r="F26" s="21" t="s">
        <v>160</v>
      </c>
      <c r="G26" s="21" t="s">
        <v>164</v>
      </c>
      <c r="H26" s="22" t="n">
        <v>1620</v>
      </c>
      <c r="I26" s="21" t="s">
        <v>133</v>
      </c>
      <c r="J26" s="22" t="n">
        <v>0</v>
      </c>
      <c r="K26" s="22" t="n">
        <v>1620</v>
      </c>
      <c r="L26" s="21" t="s">
        <v>63</v>
      </c>
    </row>
    <row r="27" customFormat="false" ht="15" hidden="false" customHeight="false" outlineLevel="0" collapsed="false">
      <c r="A27" s="23" t="n">
        <v>26</v>
      </c>
      <c r="B27" s="23" t="s">
        <v>165</v>
      </c>
      <c r="C27" s="23" t="s">
        <v>166</v>
      </c>
      <c r="D27" s="23" t="s">
        <v>129</v>
      </c>
      <c r="E27" s="23" t="s">
        <v>130</v>
      </c>
      <c r="F27" s="23" t="s">
        <v>160</v>
      </c>
      <c r="G27" s="23" t="s">
        <v>167</v>
      </c>
      <c r="H27" s="24" t="n">
        <v>360</v>
      </c>
      <c r="I27" s="23" t="s">
        <v>133</v>
      </c>
      <c r="J27" s="24" t="n">
        <v>0</v>
      </c>
      <c r="K27" s="24" t="n">
        <v>360</v>
      </c>
      <c r="L27" s="23" t="s">
        <v>63</v>
      </c>
    </row>
    <row r="28" customFormat="false" ht="15" hidden="false" customHeight="false" outlineLevel="0" collapsed="false">
      <c r="A28" s="21" t="n">
        <v>27</v>
      </c>
      <c r="B28" s="21" t="s">
        <v>168</v>
      </c>
      <c r="C28" s="21" t="s">
        <v>169</v>
      </c>
      <c r="D28" s="21" t="s">
        <v>154</v>
      </c>
      <c r="E28" s="21" t="s">
        <v>130</v>
      </c>
      <c r="F28" s="21" t="s">
        <v>160</v>
      </c>
      <c r="G28" s="21" t="s">
        <v>170</v>
      </c>
      <c r="H28" s="22" t="n">
        <v>180</v>
      </c>
      <c r="I28" s="21" t="s">
        <v>133</v>
      </c>
      <c r="J28" s="22" t="n">
        <v>0</v>
      </c>
      <c r="K28" s="22" t="n">
        <v>180</v>
      </c>
      <c r="L28" s="21" t="s">
        <v>63</v>
      </c>
    </row>
    <row r="29" customFormat="false" ht="15" hidden="false" customHeight="false" outlineLevel="0" collapsed="false">
      <c r="A29" s="23" t="n">
        <v>28</v>
      </c>
      <c r="B29" s="23" t="s">
        <v>171</v>
      </c>
      <c r="C29" s="23" t="s">
        <v>172</v>
      </c>
      <c r="D29" s="23" t="s">
        <v>154</v>
      </c>
      <c r="E29" s="23" t="s">
        <v>130</v>
      </c>
      <c r="F29" s="23" t="s">
        <v>160</v>
      </c>
      <c r="G29" s="23" t="s">
        <v>170</v>
      </c>
      <c r="H29" s="24" t="n">
        <v>180</v>
      </c>
      <c r="I29" s="23" t="s">
        <v>133</v>
      </c>
      <c r="J29" s="24" t="n">
        <v>0</v>
      </c>
      <c r="K29" s="24" t="n">
        <v>180</v>
      </c>
      <c r="L29" s="23" t="s">
        <v>63</v>
      </c>
    </row>
    <row r="30" customFormat="false" ht="15" hidden="false" customHeight="false" outlineLevel="0" collapsed="false">
      <c r="A30" s="21" t="n">
        <v>29</v>
      </c>
      <c r="B30" s="21" t="s">
        <v>173</v>
      </c>
      <c r="C30" s="21" t="s">
        <v>174</v>
      </c>
      <c r="D30" s="21" t="s">
        <v>175</v>
      </c>
      <c r="E30" s="21" t="s">
        <v>130</v>
      </c>
      <c r="F30" s="21" t="s">
        <v>160</v>
      </c>
      <c r="G30" s="21" t="s">
        <v>176</v>
      </c>
      <c r="H30" s="22" t="n">
        <v>180</v>
      </c>
      <c r="I30" s="21" t="s">
        <v>133</v>
      </c>
      <c r="J30" s="22" t="n">
        <v>0</v>
      </c>
      <c r="K30" s="22" t="n">
        <v>180</v>
      </c>
      <c r="L30" s="21" t="s">
        <v>63</v>
      </c>
    </row>
    <row r="31" customFormat="false" ht="15" hidden="false" customHeight="false" outlineLevel="0" collapsed="false">
      <c r="A31" s="23" t="n">
        <v>30</v>
      </c>
      <c r="B31" s="23" t="s">
        <v>177</v>
      </c>
      <c r="C31" s="23" t="s">
        <v>178</v>
      </c>
      <c r="D31" s="23" t="s">
        <v>179</v>
      </c>
      <c r="E31" s="23" t="s">
        <v>180</v>
      </c>
      <c r="F31" s="23" t="s">
        <v>131</v>
      </c>
      <c r="G31" s="23" t="s">
        <v>181</v>
      </c>
      <c r="H31" s="24" t="n">
        <v>195</v>
      </c>
      <c r="I31" s="23" t="s">
        <v>133</v>
      </c>
      <c r="J31" s="24" t="n">
        <v>0</v>
      </c>
      <c r="K31" s="24" t="n">
        <v>195</v>
      </c>
      <c r="L31" s="23" t="s">
        <v>63</v>
      </c>
    </row>
    <row r="32" customFormat="false" ht="15" hidden="false" customHeight="false" outlineLevel="0" collapsed="false">
      <c r="A32" s="21" t="n">
        <v>31</v>
      </c>
      <c r="B32" s="21" t="s">
        <v>182</v>
      </c>
      <c r="C32" s="21" t="s">
        <v>183</v>
      </c>
      <c r="D32" s="21" t="s">
        <v>184</v>
      </c>
      <c r="E32" s="21" t="s">
        <v>180</v>
      </c>
      <c r="F32" s="21" t="s">
        <v>131</v>
      </c>
      <c r="G32" s="21" t="s">
        <v>185</v>
      </c>
      <c r="H32" s="22" t="n">
        <v>453</v>
      </c>
      <c r="I32" s="21" t="s">
        <v>133</v>
      </c>
      <c r="J32" s="22" t="n">
        <v>0</v>
      </c>
      <c r="K32" s="22" t="n">
        <v>453</v>
      </c>
      <c r="L32" s="21" t="s">
        <v>63</v>
      </c>
    </row>
    <row r="33" customFormat="false" ht="15" hidden="false" customHeight="false" outlineLevel="0" collapsed="false">
      <c r="A33" s="23" t="n">
        <v>32</v>
      </c>
      <c r="B33" s="23" t="s">
        <v>186</v>
      </c>
      <c r="C33" s="23" t="s">
        <v>187</v>
      </c>
      <c r="D33" s="23" t="s">
        <v>188</v>
      </c>
      <c r="E33" s="23" t="s">
        <v>189</v>
      </c>
      <c r="F33" s="23" t="s">
        <v>190</v>
      </c>
      <c r="G33" s="23" t="s">
        <v>191</v>
      </c>
      <c r="H33" s="24" t="n">
        <v>359.4</v>
      </c>
      <c r="I33" s="23" t="s">
        <v>70</v>
      </c>
      <c r="J33" s="24" t="n">
        <v>75.47</v>
      </c>
      <c r="K33" s="24" t="n">
        <v>434.87</v>
      </c>
      <c r="L33" s="23" t="s">
        <v>63</v>
      </c>
    </row>
    <row r="34" customFormat="false" ht="15" hidden="false" customHeight="false" outlineLevel="0" collapsed="false">
      <c r="A34" s="21" t="n">
        <v>33</v>
      </c>
      <c r="B34" s="21" t="s">
        <v>192</v>
      </c>
      <c r="C34" s="21" t="s">
        <v>193</v>
      </c>
      <c r="D34" s="21" t="s">
        <v>194</v>
      </c>
      <c r="E34" s="21" t="s">
        <v>189</v>
      </c>
      <c r="F34" s="21" t="s">
        <v>190</v>
      </c>
      <c r="G34" s="21" t="s">
        <v>195</v>
      </c>
      <c r="H34" s="22" t="n">
        <v>654.74</v>
      </c>
      <c r="I34" s="21" t="s">
        <v>70</v>
      </c>
      <c r="J34" s="22" t="n">
        <v>137.5</v>
      </c>
      <c r="K34" s="22" t="n">
        <v>792.24</v>
      </c>
      <c r="L34" s="21" t="s">
        <v>63</v>
      </c>
    </row>
    <row r="35" customFormat="false" ht="15" hidden="false" customHeight="false" outlineLevel="0" collapsed="false">
      <c r="A35" s="23" t="n">
        <v>34</v>
      </c>
      <c r="B35" s="23" t="s">
        <v>196</v>
      </c>
      <c r="C35" s="23" t="s">
        <v>197</v>
      </c>
      <c r="D35" s="23" t="s">
        <v>198</v>
      </c>
      <c r="E35" s="23" t="s">
        <v>199</v>
      </c>
      <c r="F35" s="23" t="s">
        <v>200</v>
      </c>
      <c r="G35" s="23" t="s">
        <v>201</v>
      </c>
      <c r="H35" s="24" t="n">
        <v>35.06</v>
      </c>
      <c r="I35" s="23" t="s">
        <v>70</v>
      </c>
      <c r="J35" s="24" t="n">
        <v>7.36</v>
      </c>
      <c r="K35" s="24" t="n">
        <v>42.42</v>
      </c>
      <c r="L35" s="23" t="s">
        <v>63</v>
      </c>
    </row>
    <row r="36" customFormat="false" ht="15" hidden="false" customHeight="false" outlineLevel="0" collapsed="false">
      <c r="A36" s="21" t="n">
        <v>35</v>
      </c>
      <c r="B36" s="21" t="s">
        <v>202</v>
      </c>
      <c r="C36" s="21" t="s">
        <v>203</v>
      </c>
      <c r="D36" s="21" t="s">
        <v>204</v>
      </c>
      <c r="E36" s="21" t="s">
        <v>205</v>
      </c>
      <c r="F36" s="21" t="s">
        <v>206</v>
      </c>
      <c r="G36" s="21" t="s">
        <v>207</v>
      </c>
      <c r="H36" s="22"/>
      <c r="I36" s="21" t="s">
        <v>208</v>
      </c>
      <c r="J36" s="22"/>
      <c r="K36" s="22" t="n">
        <v>8800</v>
      </c>
      <c r="L36" s="21" t="s">
        <v>209</v>
      </c>
    </row>
    <row r="37" customFormat="false" ht="15" hidden="false" customHeight="false" outlineLevel="0" collapsed="false">
      <c r="G37" s="18" t="s">
        <v>210</v>
      </c>
      <c r="H37" s="29" t="n">
        <f aca="false">SUM(H2:H36)</f>
        <v>49068.61</v>
      </c>
      <c r="J37" s="29" t="n">
        <f aca="false">SUM(J2:J36)</f>
        <v>2417.9</v>
      </c>
      <c r="K37" s="29" t="n">
        <f aca="false">SUM(K2:K36)</f>
        <v>60286.51</v>
      </c>
    </row>
  </sheetData>
  <autoFilter ref="A1:L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25"/>
    <col collapsed="false" customWidth="true" hidden="false" outlineLevel="0" max="5" min="5" style="0" width="45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30" t="s">
        <v>28</v>
      </c>
      <c r="B1" s="30" t="s">
        <v>29</v>
      </c>
      <c r="C1" s="30" t="s">
        <v>31</v>
      </c>
      <c r="D1" s="30" t="s">
        <v>211</v>
      </c>
      <c r="E1" s="30" t="s">
        <v>33</v>
      </c>
      <c r="F1" s="30" t="s">
        <v>212</v>
      </c>
      <c r="G1" s="30" t="s">
        <v>213</v>
      </c>
      <c r="H1" s="30" t="s">
        <v>214</v>
      </c>
      <c r="I1" s="30" t="s">
        <v>34</v>
      </c>
      <c r="J1" s="30" t="s">
        <v>215</v>
      </c>
      <c r="K1" s="30" t="s">
        <v>37</v>
      </c>
    </row>
    <row r="2" customFormat="false" ht="15" hidden="false" customHeight="false" outlineLevel="0" collapsed="false">
      <c r="A2" s="21" t="n">
        <v>1</v>
      </c>
      <c r="B2" s="21" t="s">
        <v>216</v>
      </c>
      <c r="C2" s="21" t="s">
        <v>217</v>
      </c>
      <c r="D2" s="21" t="s">
        <v>41</v>
      </c>
      <c r="E2" s="21" t="s">
        <v>218</v>
      </c>
      <c r="F2" s="21" t="n">
        <v>19440</v>
      </c>
      <c r="G2" s="22" t="n">
        <v>37908</v>
      </c>
      <c r="H2" s="22" t="n">
        <v>3790.8</v>
      </c>
      <c r="I2" s="22" t="n">
        <v>34117.2</v>
      </c>
      <c r="J2" s="22" t="n">
        <v>1364.69</v>
      </c>
      <c r="K2" s="22" t="n">
        <v>35481.89</v>
      </c>
    </row>
    <row r="3" customFormat="false" ht="15" hidden="false" customHeight="false" outlineLevel="0" collapsed="false">
      <c r="A3" s="23" t="n">
        <v>2</v>
      </c>
      <c r="B3" s="23" t="s">
        <v>219</v>
      </c>
      <c r="C3" s="23" t="s">
        <v>175</v>
      </c>
      <c r="D3" s="23" t="s">
        <v>41</v>
      </c>
      <c r="E3" s="23" t="s">
        <v>220</v>
      </c>
      <c r="F3" s="23" t="n">
        <v>19440</v>
      </c>
      <c r="G3" s="24" t="n">
        <v>38815.2</v>
      </c>
      <c r="H3" s="24" t="n">
        <v>3881.52</v>
      </c>
      <c r="I3" s="24" t="n">
        <v>34933.68</v>
      </c>
      <c r="J3" s="24" t="n">
        <v>1397.35</v>
      </c>
      <c r="K3" s="24" t="n">
        <v>36331.03</v>
      </c>
    </row>
    <row r="4" customFormat="false" ht="15" hidden="false" customHeight="false" outlineLevel="0" collapsed="false">
      <c r="A4" s="21" t="n">
        <v>3</v>
      </c>
      <c r="B4" s="21" t="s">
        <v>221</v>
      </c>
      <c r="C4" s="21" t="s">
        <v>222</v>
      </c>
      <c r="D4" s="21" t="s">
        <v>41</v>
      </c>
      <c r="E4" s="21" t="s">
        <v>223</v>
      </c>
      <c r="F4" s="21" t="n">
        <v>19440</v>
      </c>
      <c r="G4" s="22" t="n">
        <v>38880</v>
      </c>
      <c r="H4" s="22" t="n">
        <v>3888</v>
      </c>
      <c r="I4" s="22" t="n">
        <v>34992</v>
      </c>
      <c r="J4" s="22" t="n">
        <v>1399.68</v>
      </c>
      <c r="K4" s="22" t="n">
        <v>36391.68</v>
      </c>
    </row>
    <row r="5" customFormat="false" ht="15" hidden="false" customHeight="false" outlineLevel="0" collapsed="false">
      <c r="A5" s="23" t="n">
        <v>4</v>
      </c>
      <c r="B5" s="23" t="s">
        <v>224</v>
      </c>
      <c r="C5" s="23" t="s">
        <v>222</v>
      </c>
      <c r="D5" s="23" t="s">
        <v>41</v>
      </c>
      <c r="E5" s="23" t="s">
        <v>225</v>
      </c>
      <c r="F5" s="23" t="n">
        <v>19440</v>
      </c>
      <c r="G5" s="24" t="n">
        <v>38815.2</v>
      </c>
      <c r="H5" s="24" t="n">
        <v>3881.52</v>
      </c>
      <c r="I5" s="24" t="n">
        <v>34933.68</v>
      </c>
      <c r="J5" s="24" t="n">
        <v>1397.35</v>
      </c>
      <c r="K5" s="24" t="n">
        <v>36331.03</v>
      </c>
    </row>
    <row r="6" customFormat="false" ht="15" hidden="false" customHeight="false" outlineLevel="0" collapsed="false">
      <c r="E6" s="18" t="s">
        <v>226</v>
      </c>
      <c r="F6" s="31" t="n">
        <f aca="false">SUM(F2:F5)</f>
        <v>77760</v>
      </c>
      <c r="G6" s="32" t="n">
        <f aca="false">SUM(G2:G5)</f>
        <v>154418.4</v>
      </c>
      <c r="H6" s="32" t="n">
        <f aca="false">SUM(H2:H5)</f>
        <v>15441.84</v>
      </c>
      <c r="I6" s="32" t="n">
        <f aca="false">SUM(I2:I5)</f>
        <v>138976.56</v>
      </c>
      <c r="J6" s="32" t="n">
        <f aca="false">SUM(J2:J5)</f>
        <v>5559.07</v>
      </c>
      <c r="K6" s="32" t="n">
        <f aca="false">SUM(K2:K5)</f>
        <v>144535.63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30" hidden="false" customHeight="true" outlineLevel="0" collapsed="false">
      <c r="A1" s="33" t="s">
        <v>28</v>
      </c>
      <c r="B1" s="33" t="s">
        <v>29</v>
      </c>
      <c r="C1" s="33" t="s">
        <v>31</v>
      </c>
      <c r="D1" s="33" t="s">
        <v>227</v>
      </c>
      <c r="E1" s="33" t="s">
        <v>228</v>
      </c>
    </row>
    <row r="2" customFormat="false" ht="15" hidden="false" customHeight="false" outlineLevel="0" collapsed="false">
      <c r="A2" s="21" t="n">
        <v>1</v>
      </c>
      <c r="B2" s="21" t="s">
        <v>229</v>
      </c>
      <c r="C2" s="21" t="s">
        <v>230</v>
      </c>
      <c r="D2" s="21" t="s">
        <v>231</v>
      </c>
      <c r="E2" s="21" t="s">
        <v>232</v>
      </c>
    </row>
    <row r="3" customFormat="false" ht="15" hidden="false" customHeight="false" outlineLevel="0" collapsed="false">
      <c r="A3" s="23" t="n">
        <v>2</v>
      </c>
      <c r="B3" s="23" t="s">
        <v>233</v>
      </c>
      <c r="C3" s="23" t="s">
        <v>179</v>
      </c>
      <c r="D3" s="23" t="s">
        <v>231</v>
      </c>
      <c r="E3" s="23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2026-02-26T04:46:33Z</dcterms:created>
  <dc:creator>openpyxl</dc:creator>
  <dc:description/>
  <dc:language>en-US</dc:language>
  <cp:lastModifiedBy/>
  <dcterms:modified xsi:type="dcterms:W3CDTF">2026-02-26T04:46:33Z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